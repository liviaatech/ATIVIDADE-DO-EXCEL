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440" windowHeight="12105"/>
  </bookViews>
  <sheets>
    <sheet name="ATIVIDADE 9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H13" i="1"/>
  <c r="H12"/>
  <c r="H11"/>
  <c r="H10"/>
  <c r="H9"/>
  <c r="H8"/>
  <c r="H7"/>
  <c r="H6"/>
  <c r="H5"/>
  <c r="H4"/>
  <c r="H3"/>
  <c r="G13"/>
  <c r="G12"/>
  <c r="G11"/>
  <c r="G10"/>
  <c r="G9"/>
  <c r="G8"/>
  <c r="G7"/>
  <c r="G6"/>
  <c r="G5"/>
  <c r="G4"/>
  <c r="G3"/>
  <c r="F13" l="1"/>
  <c r="F12"/>
  <c r="F11"/>
  <c r="F10"/>
  <c r="F9"/>
  <c r="F8"/>
  <c r="F7"/>
  <c r="F6"/>
  <c r="F5"/>
  <c r="F4"/>
  <c r="F3"/>
  <c r="E13"/>
  <c r="E12"/>
  <c r="E11"/>
  <c r="E10"/>
  <c r="E9"/>
  <c r="E8"/>
  <c r="E7"/>
  <c r="E6"/>
  <c r="E5"/>
  <c r="E4"/>
  <c r="E3"/>
</calcChain>
</file>

<file path=xl/sharedStrings.xml><?xml version="1.0" encoding="utf-8"?>
<sst xmlns="http://schemas.openxmlformats.org/spreadsheetml/2006/main" count="21" uniqueCount="18">
  <si>
    <t xml:space="preserve">PRODUTO </t>
  </si>
  <si>
    <t>ESTOQUE</t>
  </si>
  <si>
    <t>CUSTO</t>
  </si>
  <si>
    <t>VENDA</t>
  </si>
  <si>
    <t>TOTAL</t>
  </si>
  <si>
    <t>BORRACHA</t>
  </si>
  <si>
    <t>CADERNO 100 FLS</t>
  </si>
  <si>
    <t>CADERNO 200 FLS</t>
  </si>
  <si>
    <t>CANETA AZUL</t>
  </si>
  <si>
    <t>CANETA VERMELHA</t>
  </si>
  <si>
    <t>LAPISEIRA</t>
  </si>
  <si>
    <t>RÉGUA 15CM</t>
  </si>
  <si>
    <t xml:space="preserve">RÉGUA 30 CM </t>
  </si>
  <si>
    <t>GIZ DE CERA</t>
  </si>
  <si>
    <t>COLA</t>
  </si>
  <si>
    <t>COMPASSO</t>
  </si>
  <si>
    <t>TOTAIS</t>
  </si>
  <si>
    <t>VALOR DO DÓLAR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</si>
</sst>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44" fontId="0" fillId="0" borderId="1" xfId="1" applyFont="1" applyBorder="1"/>
    <xf numFmtId="165" fontId="0" fillId="0" borderId="1" xfId="1" applyNumberFormat="1" applyFont="1" applyBorder="1"/>
    <xf numFmtId="10" fontId="0" fillId="0" borderId="0" xfId="0" applyNumberFormat="1"/>
    <xf numFmtId="164" fontId="0" fillId="0" borderId="1" xfId="1" applyNumberFormat="1" applyFont="1" applyBorder="1"/>
    <xf numFmtId="3" fontId="0" fillId="0" borderId="1" xfId="0" applyNumberFormat="1" applyBorder="1"/>
    <xf numFmtId="165" fontId="0" fillId="0" borderId="1" xfId="2" applyNumberFormat="1" applyFont="1" applyBorder="1"/>
    <xf numFmtId="165" fontId="0" fillId="0" borderId="1" xfId="0" applyNumberFormat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>
      <selection activeCell="H14" sqref="H14"/>
    </sheetView>
  </sheetViews>
  <sheetFormatPr defaultRowHeight="15"/>
  <cols>
    <col min="1" max="1" width="18.85546875" customWidth="1"/>
    <col min="2" max="2" width="12.140625" customWidth="1"/>
    <col min="3" max="4" width="9.5703125" bestFit="1" customWidth="1"/>
    <col min="5" max="5" width="12.140625" bestFit="1" customWidth="1"/>
    <col min="8" max="8" width="10.28515625" bestFit="1" customWidth="1"/>
  </cols>
  <sheetData>
    <row r="1" spans="1:8">
      <c r="A1" s="2" t="s">
        <v>17</v>
      </c>
      <c r="B1" s="3">
        <v>3.34</v>
      </c>
      <c r="C1" s="6">
        <v>0.125</v>
      </c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</v>
      </c>
      <c r="G2" s="2" t="s">
        <v>3</v>
      </c>
      <c r="H2" s="2" t="s">
        <v>4</v>
      </c>
    </row>
    <row r="3" spans="1:8">
      <c r="A3" s="1" t="s">
        <v>5</v>
      </c>
      <c r="B3" s="1">
        <v>500</v>
      </c>
      <c r="C3" s="5">
        <v>0.5</v>
      </c>
      <c r="D3" s="10">
        <v>0.55000000000000004</v>
      </c>
      <c r="E3" s="4">
        <f>B3*C3</f>
        <v>250</v>
      </c>
      <c r="F3" s="3">
        <f>C3/B1</f>
        <v>0.14970059880239522</v>
      </c>
      <c r="G3" s="7">
        <f>F3*(1+C1)</f>
        <v>0.16841317365269462</v>
      </c>
      <c r="H3" s="3">
        <f>G3*B3</f>
        <v>84.206586826347305</v>
      </c>
    </row>
    <row r="4" spans="1:8">
      <c r="A4" s="1" t="s">
        <v>6</v>
      </c>
      <c r="B4" s="1">
        <v>200</v>
      </c>
      <c r="C4" s="4">
        <v>2.57</v>
      </c>
      <c r="D4" s="10">
        <v>2.7</v>
      </c>
      <c r="E4" s="4">
        <f>B4*C4</f>
        <v>514</v>
      </c>
      <c r="F4" s="3">
        <f>C4/B1</f>
        <v>0.76946107784431139</v>
      </c>
      <c r="G4" s="3">
        <f>F4*(1+ C1)</f>
        <v>0.86564371257485029</v>
      </c>
      <c r="H4" s="3">
        <f>G4*B4</f>
        <v>173.12874251497007</v>
      </c>
    </row>
    <row r="5" spans="1:8">
      <c r="A5" s="1" t="s">
        <v>7</v>
      </c>
      <c r="B5" s="1">
        <v>300</v>
      </c>
      <c r="C5" s="4">
        <v>5</v>
      </c>
      <c r="D5" s="10">
        <v>5.5</v>
      </c>
      <c r="E5" s="4">
        <f t="shared" ref="E5:E14" si="0">B5*D5</f>
        <v>1650</v>
      </c>
      <c r="F5" s="3">
        <f>C5/B1</f>
        <v>1.4970059880239521</v>
      </c>
      <c r="G5" s="3">
        <f xml:space="preserve"> F5*(1+C10)</f>
        <v>2.0209580838323356</v>
      </c>
      <c r="H5" s="3">
        <f>G5*B5</f>
        <v>606.28742514970065</v>
      </c>
    </row>
    <row r="6" spans="1:8">
      <c r="A6" s="1" t="s">
        <v>8</v>
      </c>
      <c r="B6" s="1">
        <v>1000</v>
      </c>
      <c r="C6" s="4">
        <v>0.15</v>
      </c>
      <c r="D6" s="10">
        <v>0.25</v>
      </c>
      <c r="E6" s="4">
        <f t="shared" si="0"/>
        <v>250</v>
      </c>
      <c r="F6" s="3">
        <f>C6/B1</f>
        <v>4.4910179640718563E-2</v>
      </c>
      <c r="G6" s="3">
        <f>F6*(1+C1)</f>
        <v>5.0523952095808386E-2</v>
      </c>
      <c r="H6" s="3">
        <f>G6*B6</f>
        <v>50.523952095808383</v>
      </c>
    </row>
    <row r="7" spans="1:8">
      <c r="A7" s="1" t="s">
        <v>9</v>
      </c>
      <c r="B7" s="1">
        <v>1000</v>
      </c>
      <c r="C7" s="4">
        <v>0.15</v>
      </c>
      <c r="D7" s="10">
        <v>0.25</v>
      </c>
      <c r="E7" s="4">
        <f t="shared" si="0"/>
        <v>250</v>
      </c>
      <c r="F7" s="3">
        <f>C7/B1</f>
        <v>4.4910179640718563E-2</v>
      </c>
      <c r="G7" s="7">
        <f>F7*(1+C1)</f>
        <v>5.0523952095808386E-2</v>
      </c>
      <c r="H7" s="3">
        <f>G7*B7</f>
        <v>50.523952095808383</v>
      </c>
    </row>
    <row r="8" spans="1:8">
      <c r="A8" s="1" t="s">
        <v>10</v>
      </c>
      <c r="B8" s="1">
        <v>200</v>
      </c>
      <c r="C8" s="4">
        <v>3</v>
      </c>
      <c r="D8" s="4">
        <v>3.5</v>
      </c>
      <c r="E8" s="4">
        <f t="shared" si="0"/>
        <v>700</v>
      </c>
      <c r="F8" s="3">
        <f>C8/B1</f>
        <v>0.89820359281437134</v>
      </c>
      <c r="G8" s="3">
        <f xml:space="preserve"> F8*(1+C1)</f>
        <v>1.0104790419161678</v>
      </c>
      <c r="H8" s="3">
        <f>B8*G8</f>
        <v>202.09580838323356</v>
      </c>
    </row>
    <row r="9" spans="1:8">
      <c r="A9" s="1" t="s">
        <v>11</v>
      </c>
      <c r="B9" s="1">
        <v>500</v>
      </c>
      <c r="C9" s="4">
        <v>0.25</v>
      </c>
      <c r="D9" s="10">
        <v>0.3</v>
      </c>
      <c r="E9" s="4">
        <f t="shared" si="0"/>
        <v>150</v>
      </c>
      <c r="F9" s="3">
        <f>C9/B1</f>
        <v>7.4850299401197612E-2</v>
      </c>
      <c r="G9" s="3">
        <f>F9*(1+C1)</f>
        <v>8.420658682634731E-2</v>
      </c>
      <c r="H9" s="3">
        <f>G9*B9</f>
        <v>42.103293413173652</v>
      </c>
    </row>
    <row r="10" spans="1:8">
      <c r="A10" s="1" t="s">
        <v>12</v>
      </c>
      <c r="B10" s="1">
        <v>500</v>
      </c>
      <c r="C10" s="4">
        <v>0.35</v>
      </c>
      <c r="D10" s="4">
        <v>0.45</v>
      </c>
      <c r="E10" s="4">
        <f t="shared" si="0"/>
        <v>225</v>
      </c>
      <c r="F10" s="3">
        <f>C10/B1</f>
        <v>0.10479041916167664</v>
      </c>
      <c r="G10" s="3">
        <f>F10*(1+C1)</f>
        <v>0.11788922155688622</v>
      </c>
      <c r="H10" s="3">
        <f>G10*B10</f>
        <v>58.944610778443113</v>
      </c>
    </row>
    <row r="11" spans="1:8">
      <c r="A11" s="1" t="s">
        <v>13</v>
      </c>
      <c r="B11" s="1">
        <v>50</v>
      </c>
      <c r="C11" s="4">
        <v>6</v>
      </c>
      <c r="D11" s="4">
        <v>6.5</v>
      </c>
      <c r="E11" s="4">
        <f t="shared" si="0"/>
        <v>325</v>
      </c>
      <c r="F11" s="3">
        <f>C11/B1</f>
        <v>1.7964071856287427</v>
      </c>
      <c r="G11" s="3">
        <f>F11*(1+C1)</f>
        <v>2.0209580838323356</v>
      </c>
      <c r="H11" s="3">
        <f>G11*B11</f>
        <v>101.04790419161678</v>
      </c>
    </row>
    <row r="12" spans="1:8">
      <c r="A12" s="1" t="s">
        <v>14</v>
      </c>
      <c r="B12" s="1">
        <v>100</v>
      </c>
      <c r="C12" s="4">
        <v>3.14</v>
      </c>
      <c r="D12" s="4">
        <v>4</v>
      </c>
      <c r="E12" s="4">
        <f t="shared" si="0"/>
        <v>400</v>
      </c>
      <c r="F12" s="3">
        <f>C12/B1</f>
        <v>0.940119760479042</v>
      </c>
      <c r="G12" s="3">
        <f>F12*(1+C1)</f>
        <v>1.0576347305389222</v>
      </c>
      <c r="H12" s="3">
        <f>G12*B12</f>
        <v>105.76347305389223</v>
      </c>
    </row>
    <row r="13" spans="1:8">
      <c r="A13" s="1" t="s">
        <v>15</v>
      </c>
      <c r="B13" s="1">
        <v>100</v>
      </c>
      <c r="C13" s="4">
        <v>5.68</v>
      </c>
      <c r="D13" s="4">
        <v>6</v>
      </c>
      <c r="E13" s="4">
        <f t="shared" si="0"/>
        <v>600</v>
      </c>
      <c r="F13" s="3">
        <f>C13/B1</f>
        <v>1.7005988023952097</v>
      </c>
      <c r="G13" s="3">
        <f>F13*(1+C1)</f>
        <v>1.9131736526946108</v>
      </c>
      <c r="H13" s="3">
        <f>G13*B13</f>
        <v>191.31736526946108</v>
      </c>
    </row>
    <row r="14" spans="1:8">
      <c r="A14" s="1" t="s">
        <v>16</v>
      </c>
      <c r="B14" s="8">
        <v>4450</v>
      </c>
      <c r="C14" s="9">
        <v>26.79</v>
      </c>
      <c r="D14" s="4">
        <v>30</v>
      </c>
      <c r="E14" s="10">
        <v>5314</v>
      </c>
      <c r="F14" s="3">
        <v>8.01</v>
      </c>
      <c r="G14" s="3">
        <v>9.36</v>
      </c>
      <c r="H14" s="3">
        <v>1665.94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ATIVIDADE 9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REGINALDO</cp:lastModifiedBy>
  <dcterms:created xsi:type="dcterms:W3CDTF">2026-03-12T21:58:22Z</dcterms:created>
  <dcterms:modified xsi:type="dcterms:W3CDTF">2026-03-24T00:11:24Z</dcterms:modified>
</cp:coreProperties>
</file>