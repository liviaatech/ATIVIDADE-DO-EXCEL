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838A38B9-06B4-44E5-A7ED-E6EB9DA6CF99}" xr6:coauthVersionLast="36" xr6:coauthVersionMax="36" xr10:uidLastSave="{00000000-0000-0000-0000-000000000000}"/>
  <bookViews>
    <workbookView xWindow="0" yWindow="0" windowWidth="28800" windowHeight="12105" activeTab="2" xr2:uid="{00000000-000D-0000-FFFF-FFFF00000000}"/>
  </bookViews>
  <sheets>
    <sheet name="ATIVIDADE 5" sheetId="1" r:id="rId1"/>
    <sheet name="ATIVIDADE 6" sheetId="2" r:id="rId2"/>
    <sheet name="ATIVIDADE 7" sheetId="3" r:id="rId3"/>
  </sheets>
  <calcPr calcId="191029"/>
</workbook>
</file>

<file path=xl/calcChain.xml><?xml version="1.0" encoding="utf-8"?>
<calcChain xmlns="http://schemas.openxmlformats.org/spreadsheetml/2006/main">
  <c r="B22" i="3" l="1"/>
  <c r="B21" i="3"/>
  <c r="B20" i="3"/>
  <c r="B19" i="3"/>
  <c r="E13" i="1"/>
  <c r="D13" i="1"/>
  <c r="C13" i="1"/>
  <c r="B13" i="1"/>
  <c r="F10" i="1"/>
  <c r="F9" i="1"/>
  <c r="F8" i="1"/>
  <c r="F7" i="1"/>
  <c r="F6" i="1"/>
  <c r="F5" i="1"/>
  <c r="F16" i="1" s="1"/>
  <c r="F2" i="1" l="1"/>
</calcChain>
</file>

<file path=xl/sharedStrings.xml><?xml version="1.0" encoding="utf-8"?>
<sst xmlns="http://schemas.openxmlformats.org/spreadsheetml/2006/main" count="124" uniqueCount="100">
  <si>
    <t>RECEITA BRUTA</t>
  </si>
  <si>
    <t>DESPESA LÍQUIDA</t>
  </si>
  <si>
    <t>SALÁRIOS</t>
  </si>
  <si>
    <t>JUROS</t>
  </si>
  <si>
    <t>ALUGUEL</t>
  </si>
  <si>
    <t>PROPAGANDA</t>
  </si>
  <si>
    <t>SUPRIMENTOS</t>
  </si>
  <si>
    <t>DIVERSOS</t>
  </si>
  <si>
    <t>TOTAL DO TRIMESTRE</t>
  </si>
  <si>
    <t>RECEITA LÍQUIDA</t>
  </si>
  <si>
    <t>SITUAÇÃO</t>
  </si>
  <si>
    <t>JAN-MAR</t>
  </si>
  <si>
    <t>ABR-JUN</t>
  </si>
  <si>
    <t>JUL-SET</t>
  </si>
  <si>
    <t>OUT-DEZ</t>
  </si>
  <si>
    <t>TOTAL DO ANO</t>
  </si>
  <si>
    <t>JUN-SET</t>
  </si>
  <si>
    <t>VALOR ACUMULADO</t>
  </si>
  <si>
    <t>LUCRO TOTAL</t>
  </si>
  <si>
    <t>PREJUÍZO TOTAL</t>
  </si>
  <si>
    <t>PREJUIZO TOTAL</t>
  </si>
  <si>
    <t>NOME</t>
  </si>
  <si>
    <t>SALÁRIO</t>
  </si>
  <si>
    <t>JOÃO DOS SANTOS</t>
  </si>
  <si>
    <t>MARIA DA SILVAS</t>
  </si>
  <si>
    <t>MANOEL DAS FLORES</t>
  </si>
  <si>
    <t>LAMBARILDO PEIXE</t>
  </si>
  <si>
    <t>SEBASTIÃO SOUZA</t>
  </si>
  <si>
    <t>ANA FLÁVIA SILVEIRA</t>
  </si>
  <si>
    <t>SILVIA HELENA SANTOS</t>
  </si>
  <si>
    <t>ALBERTO ROBERTO</t>
  </si>
  <si>
    <t>AUMENTO</t>
  </si>
  <si>
    <t>NOVO SALÁRIO</t>
  </si>
  <si>
    <t>ENDEREÇO</t>
  </si>
  <si>
    <t>BAIRRO</t>
  </si>
  <si>
    <t>CIDADE</t>
  </si>
  <si>
    <t>ESTADO</t>
  </si>
  <si>
    <t>ANA</t>
  </si>
  <si>
    <t>EDUARDO</t>
  </si>
  <si>
    <t>ÉRICA</t>
  </si>
  <si>
    <t>FERNANDA</t>
  </si>
  <si>
    <t>GABRIELA</t>
  </si>
  <si>
    <t>HELENA</t>
  </si>
  <si>
    <t>KATIANE</t>
  </si>
  <si>
    <t>LUCIMARA</t>
  </si>
  <si>
    <t>LILIAN</t>
  </si>
  <si>
    <t>MARIA</t>
  </si>
  <si>
    <t>PEDRO</t>
  </si>
  <si>
    <t>ROBERTO</t>
  </si>
  <si>
    <t>RUBENS</t>
  </si>
  <si>
    <t>SÔNIA</t>
  </si>
  <si>
    <t>TATIANE</t>
  </si>
  <si>
    <t>R. ANTÕNIO DE CASTRO, 362</t>
  </si>
  <si>
    <t>R. TIRADENTES, 123</t>
  </si>
  <si>
    <t>AV. OROZIMBO MAIA, 987</t>
  </si>
  <si>
    <t>RODOVIA ANHANGUERA,KM 180</t>
  </si>
  <si>
    <t>RODOVIA RIO/SÃO PAULO, KM 77</t>
  </si>
  <si>
    <t>R. JÚLIO MESQUITA, 66</t>
  </si>
  <si>
    <t>R. 5,78</t>
  </si>
  <si>
    <t>CENTRO</t>
  </si>
  <si>
    <t>SÃO BENEDITO</t>
  </si>
  <si>
    <t>JD. NOVA CAMPINAS</t>
  </si>
  <si>
    <t>PRAIA GRANDE</t>
  </si>
  <si>
    <t>JARDIM EUROPA</t>
  </si>
  <si>
    <t>VIA TUBARÃO</t>
  </si>
  <si>
    <t>J. PAULISTA</t>
  </si>
  <si>
    <t>IBIRAPUERA</t>
  </si>
  <si>
    <t>BOTAFOGO</t>
  </si>
  <si>
    <t>BELVEDERE</t>
  </si>
  <si>
    <t>VILA CLÁUDIA</t>
  </si>
  <si>
    <t>PARQUE INDUSTRIAL</t>
  </si>
  <si>
    <t>R. LAMBARILDO PEIXE</t>
  </si>
  <si>
    <t>AV. DOS JEQUITIBAS,11</t>
  </si>
  <si>
    <t>AV. IPIRANGA, 568</t>
  </si>
  <si>
    <t>R. SERGIPE, 765</t>
  </si>
  <si>
    <t>AV. LIMEIRA, 98</t>
  </si>
  <si>
    <t>AL. DOS LARAJAIS, 99</t>
  </si>
  <si>
    <t>R. DAS QUARESMEIRAS, 810</t>
  </si>
  <si>
    <t>R. MINAS GERAIS, 67</t>
  </si>
  <si>
    <t>SP</t>
  </si>
  <si>
    <t>BA</t>
  </si>
  <si>
    <t>PE</t>
  </si>
  <si>
    <t>SC</t>
  </si>
  <si>
    <t>AM</t>
  </si>
  <si>
    <t>RJ</t>
  </si>
  <si>
    <t>RS</t>
  </si>
  <si>
    <t>MG</t>
  </si>
  <si>
    <t>UBATUBA</t>
  </si>
  <si>
    <t>RECIFE</t>
  </si>
  <si>
    <t>RIO CLARO</t>
  </si>
  <si>
    <t>RIBEIRÃO PRETO</t>
  </si>
  <si>
    <t>FLORIANÓPOLIS</t>
  </si>
  <si>
    <t>MANAUS</t>
  </si>
  <si>
    <t>CAMPINAS</t>
  </si>
  <si>
    <t>ARARAS</t>
  </si>
  <si>
    <t>RIO DE JANEIRO</t>
  </si>
  <si>
    <t>PORTO ALEGRE</t>
  </si>
  <si>
    <t>POÇOS DE CAÍDAS</t>
  </si>
  <si>
    <t>LEME</t>
  </si>
  <si>
    <t>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</si>
</sst>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933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2" xfId="0" applyBorder="1"/>
    <xf numFmtId="3" fontId="0" fillId="0" borderId="2" xfId="0" applyNumberFormat="1" applyBorder="1"/>
    <xf numFmtId="0" fontId="0" fillId="2" borderId="2" xfId="0" applyFill="1" applyBorder="1"/>
    <xf numFmtId="3" fontId="0" fillId="2" borderId="2" xfId="0" applyNumberFormat="1" applyFill="1" applyBorder="1"/>
    <xf numFmtId="4" fontId="0" fillId="0" borderId="2" xfId="0" applyNumberFormat="1" applyBorder="1"/>
    <xf numFmtId="0" fontId="0" fillId="2" borderId="1" xfId="0" applyFill="1" applyBorder="1"/>
    <xf numFmtId="0" fontId="0" fillId="3" borderId="2" xfId="0" applyFill="1" applyBorder="1"/>
    <xf numFmtId="0" fontId="2" fillId="3" borderId="2" xfId="0" applyFont="1" applyFill="1" applyBorder="1"/>
    <xf numFmtId="0" fontId="2" fillId="4" borderId="2" xfId="0" applyFont="1" applyFill="1" applyBorder="1"/>
    <xf numFmtId="3" fontId="0" fillId="0" borderId="0" xfId="0" applyNumberFormat="1" applyBorder="1"/>
    <xf numFmtId="0" fontId="0" fillId="0" borderId="0" xfId="0" applyBorder="1"/>
    <xf numFmtId="44" fontId="0" fillId="0" borderId="2" xfId="1" applyFont="1" applyBorder="1"/>
    <xf numFmtId="0" fontId="0" fillId="5" borderId="2" xfId="0" applyFill="1" applyBorder="1"/>
    <xf numFmtId="0" fontId="2" fillId="6" borderId="2" xfId="0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9933FF"/>
      <color rgb="FFFF7C80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E27" sqref="E27"/>
    </sheetView>
  </sheetViews>
  <sheetFormatPr defaultRowHeight="15" x14ac:dyDescent="0.25"/>
  <cols>
    <col min="1" max="1" width="20.85546875" customWidth="1"/>
    <col min="2" max="2" width="14.7109375" customWidth="1"/>
    <col min="3" max="3" width="13.7109375" customWidth="1"/>
    <col min="4" max="4" width="15.42578125" customWidth="1"/>
    <col min="5" max="5" width="16" customWidth="1"/>
    <col min="6" max="6" width="14.140625" customWidth="1"/>
  </cols>
  <sheetData>
    <row r="1" spans="1:8" x14ac:dyDescent="0.25">
      <c r="A1" s="8" t="s">
        <v>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</row>
    <row r="2" spans="1:8" x14ac:dyDescent="0.25">
      <c r="A2" s="3"/>
      <c r="B2" s="4">
        <v>140000</v>
      </c>
      <c r="C2" s="4">
        <v>185000</v>
      </c>
      <c r="D2" s="4">
        <v>204100</v>
      </c>
      <c r="E2" s="4">
        <v>240000</v>
      </c>
      <c r="F2" s="4">
        <f xml:space="preserve"> SUM(B2:E20)</f>
        <v>2292201</v>
      </c>
    </row>
    <row r="4" spans="1:8" x14ac:dyDescent="0.25">
      <c r="A4" s="8" t="s">
        <v>1</v>
      </c>
      <c r="B4" s="8" t="s">
        <v>11</v>
      </c>
      <c r="C4" s="8" t="s">
        <v>12</v>
      </c>
      <c r="D4" s="8" t="s">
        <v>16</v>
      </c>
      <c r="E4" s="8" t="s">
        <v>14</v>
      </c>
      <c r="F4" s="8" t="s">
        <v>15</v>
      </c>
    </row>
    <row r="5" spans="1:8" x14ac:dyDescent="0.25">
      <c r="A5" s="9" t="s">
        <v>2</v>
      </c>
      <c r="B5" s="2">
        <v>20000</v>
      </c>
      <c r="C5" s="5">
        <v>26000</v>
      </c>
      <c r="D5" s="2">
        <v>33800</v>
      </c>
      <c r="E5" s="5">
        <v>43940</v>
      </c>
      <c r="F5" s="2">
        <f t="shared" ref="F5:F10" si="0">SUM(B5:E5)</f>
        <v>123740</v>
      </c>
    </row>
    <row r="6" spans="1:8" x14ac:dyDescent="0.25">
      <c r="A6" s="9" t="s">
        <v>3</v>
      </c>
      <c r="B6" s="2">
        <v>20000</v>
      </c>
      <c r="C6" s="5">
        <v>15600</v>
      </c>
      <c r="D6" s="5">
        <v>20280</v>
      </c>
      <c r="E6" s="5">
        <v>26364</v>
      </c>
      <c r="F6" s="2">
        <f t="shared" si="0"/>
        <v>82244</v>
      </c>
      <c r="H6" s="6"/>
    </row>
    <row r="7" spans="1:8" x14ac:dyDescent="0.25">
      <c r="A7" s="9" t="s">
        <v>4</v>
      </c>
      <c r="B7" s="2">
        <v>12000</v>
      </c>
      <c r="C7" s="5">
        <v>20930</v>
      </c>
      <c r="D7" s="5">
        <v>27209</v>
      </c>
      <c r="E7" s="5">
        <v>35371.699999999997</v>
      </c>
      <c r="F7" s="2">
        <f t="shared" si="0"/>
        <v>95510.7</v>
      </c>
    </row>
    <row r="8" spans="1:8" x14ac:dyDescent="0.25">
      <c r="A8" s="9" t="s">
        <v>5</v>
      </c>
      <c r="B8" s="2">
        <v>16100</v>
      </c>
      <c r="C8" s="5">
        <v>28870</v>
      </c>
      <c r="D8" s="5">
        <v>33631</v>
      </c>
      <c r="E8" s="5">
        <v>43720.3</v>
      </c>
      <c r="F8" s="2">
        <f t="shared" si="0"/>
        <v>122321.3</v>
      </c>
    </row>
    <row r="9" spans="1:8" x14ac:dyDescent="0.25">
      <c r="A9" s="9" t="s">
        <v>6</v>
      </c>
      <c r="B9" s="2">
        <v>19900</v>
      </c>
      <c r="C9" s="5">
        <v>39000</v>
      </c>
      <c r="D9" s="5">
        <v>50700</v>
      </c>
      <c r="E9" s="5">
        <v>65910</v>
      </c>
      <c r="F9" s="2">
        <f t="shared" si="0"/>
        <v>175510</v>
      </c>
    </row>
    <row r="10" spans="1:8" x14ac:dyDescent="0.25">
      <c r="A10" s="9" t="s">
        <v>7</v>
      </c>
      <c r="B10" s="2">
        <v>25000</v>
      </c>
      <c r="C10" s="5">
        <v>32500</v>
      </c>
      <c r="D10" s="5">
        <v>42250</v>
      </c>
      <c r="E10" s="5">
        <v>54925</v>
      </c>
      <c r="F10" s="2">
        <f t="shared" si="0"/>
        <v>154675</v>
      </c>
    </row>
    <row r="13" spans="1:8" x14ac:dyDescent="0.25">
      <c r="A13" s="8" t="s">
        <v>8</v>
      </c>
      <c r="B13" s="2">
        <f>SUM(B5:B10)</f>
        <v>113000</v>
      </c>
      <c r="C13" s="5">
        <f>SUM(C5:C10)</f>
        <v>162900</v>
      </c>
      <c r="D13" s="2">
        <f>SUM(D5:D10)</f>
        <v>207870</v>
      </c>
      <c r="E13" s="5">
        <f>SUM(E5:E10)</f>
        <v>270231</v>
      </c>
      <c r="F13" s="10"/>
    </row>
    <row r="14" spans="1:8" x14ac:dyDescent="0.25">
      <c r="A14" s="8" t="s">
        <v>9</v>
      </c>
      <c r="B14" s="2">
        <v>27000</v>
      </c>
      <c r="C14" s="2">
        <v>22100</v>
      </c>
      <c r="D14" s="2">
        <v>-3770</v>
      </c>
      <c r="E14" s="2">
        <v>-30231</v>
      </c>
      <c r="F14" s="10"/>
    </row>
    <row r="15" spans="1:8" x14ac:dyDescent="0.25">
      <c r="A15" s="8" t="s">
        <v>10</v>
      </c>
      <c r="B15" s="1" t="s">
        <v>18</v>
      </c>
      <c r="C15" s="1" t="s">
        <v>18</v>
      </c>
      <c r="D15" s="1" t="s">
        <v>19</v>
      </c>
      <c r="E15" s="1" t="s">
        <v>20</v>
      </c>
      <c r="F15" s="11"/>
    </row>
    <row r="16" spans="1:8" x14ac:dyDescent="0.25">
      <c r="C16" s="8" t="s">
        <v>17</v>
      </c>
      <c r="D16" s="7"/>
      <c r="E16" s="7"/>
      <c r="F16" s="2">
        <f>SUM(F5:F10)</f>
        <v>754001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0"/>
  <sheetViews>
    <sheetView workbookViewId="0">
      <selection activeCell="D4" sqref="D4"/>
    </sheetView>
  </sheetViews>
  <sheetFormatPr defaultRowHeight="15" x14ac:dyDescent="0.25"/>
  <cols>
    <col min="1" max="1" width="24.42578125" customWidth="1"/>
    <col min="2" max="2" width="12.140625" bestFit="1" customWidth="1"/>
    <col min="3" max="3" width="10.28515625" customWidth="1"/>
    <col min="4" max="4" width="14.140625" customWidth="1"/>
  </cols>
  <sheetData>
    <row r="2" spans="1:4" x14ac:dyDescent="0.25">
      <c r="A2" s="13" t="s">
        <v>21</v>
      </c>
      <c r="B2" s="13" t="s">
        <v>22</v>
      </c>
      <c r="C2" s="13" t="s">
        <v>31</v>
      </c>
      <c r="D2" s="13" t="s">
        <v>32</v>
      </c>
    </row>
    <row r="3" spans="1:4" x14ac:dyDescent="0.25">
      <c r="A3" s="1" t="s">
        <v>23</v>
      </c>
      <c r="B3" s="12">
        <v>900</v>
      </c>
      <c r="C3" s="12">
        <v>360</v>
      </c>
      <c r="D3" s="12">
        <v>1260</v>
      </c>
    </row>
    <row r="4" spans="1:4" x14ac:dyDescent="0.25">
      <c r="A4" s="1" t="s">
        <v>24</v>
      </c>
      <c r="B4" s="12">
        <v>1200</v>
      </c>
      <c r="C4" s="12">
        <v>360</v>
      </c>
      <c r="D4" s="12">
        <v>1560</v>
      </c>
    </row>
    <row r="5" spans="1:4" x14ac:dyDescent="0.25">
      <c r="A5" s="1" t="s">
        <v>25</v>
      </c>
      <c r="B5" s="12">
        <v>1500</v>
      </c>
      <c r="C5" s="12">
        <v>450</v>
      </c>
      <c r="D5" s="12">
        <v>1950</v>
      </c>
    </row>
    <row r="6" spans="1:4" x14ac:dyDescent="0.25">
      <c r="A6" s="1" t="s">
        <v>26</v>
      </c>
      <c r="B6" s="12">
        <v>2000</v>
      </c>
      <c r="C6" s="12">
        <v>600</v>
      </c>
      <c r="D6" s="12">
        <v>2600</v>
      </c>
    </row>
    <row r="7" spans="1:4" x14ac:dyDescent="0.25">
      <c r="A7" s="1" t="s">
        <v>27</v>
      </c>
      <c r="B7" s="12">
        <v>1400</v>
      </c>
      <c r="C7" s="12">
        <v>420</v>
      </c>
      <c r="D7" s="12">
        <v>1820</v>
      </c>
    </row>
    <row r="8" spans="1:4" x14ac:dyDescent="0.25">
      <c r="A8" s="1" t="s">
        <v>28</v>
      </c>
      <c r="B8" s="12">
        <v>990</v>
      </c>
      <c r="C8" s="12">
        <v>396</v>
      </c>
      <c r="D8" s="12">
        <v>1386</v>
      </c>
    </row>
    <row r="9" spans="1:4" x14ac:dyDescent="0.25">
      <c r="A9" s="1" t="s">
        <v>29</v>
      </c>
      <c r="B9" s="12">
        <v>854</v>
      </c>
      <c r="C9" s="12">
        <v>341.6</v>
      </c>
      <c r="D9" s="12">
        <v>1195.5999999999999</v>
      </c>
    </row>
    <row r="10" spans="1:4" x14ac:dyDescent="0.25">
      <c r="A10" s="1" t="s">
        <v>30</v>
      </c>
      <c r="B10" s="12">
        <v>1100</v>
      </c>
      <c r="C10" s="12">
        <v>330</v>
      </c>
      <c r="D10" s="12">
        <v>1430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tabSelected="1" workbookViewId="0">
      <selection activeCell="B23" sqref="B23"/>
    </sheetView>
  </sheetViews>
  <sheetFormatPr defaultRowHeight="15" x14ac:dyDescent="0.25"/>
  <cols>
    <col min="1" max="1" width="12.5703125" customWidth="1"/>
    <col min="2" max="2" width="30.7109375" customWidth="1"/>
    <col min="3" max="3" width="21.140625" customWidth="1"/>
    <col min="4" max="4" width="17" bestFit="1" customWidth="1"/>
    <col min="5" max="5" width="12.5703125" customWidth="1"/>
  </cols>
  <sheetData>
    <row r="1" spans="1:5" x14ac:dyDescent="0.25">
      <c r="A1" s="14" t="s">
        <v>21</v>
      </c>
      <c r="B1" s="14" t="s">
        <v>33</v>
      </c>
      <c r="C1" s="14" t="s">
        <v>34</v>
      </c>
      <c r="D1" s="14" t="s">
        <v>35</v>
      </c>
      <c r="E1" s="14" t="s">
        <v>36</v>
      </c>
    </row>
    <row r="2" spans="1:5" x14ac:dyDescent="0.25">
      <c r="A2" s="1" t="s">
        <v>37</v>
      </c>
      <c r="B2" s="1" t="s">
        <v>55</v>
      </c>
      <c r="C2" s="1" t="s">
        <v>59</v>
      </c>
      <c r="D2" s="1" t="s">
        <v>98</v>
      </c>
      <c r="E2" s="1" t="s">
        <v>79</v>
      </c>
    </row>
    <row r="3" spans="1:5" x14ac:dyDescent="0.25">
      <c r="A3" s="1" t="s">
        <v>38</v>
      </c>
      <c r="B3" s="1" t="s">
        <v>52</v>
      </c>
      <c r="C3" s="1" t="s">
        <v>60</v>
      </c>
      <c r="D3" s="1" t="s">
        <v>94</v>
      </c>
      <c r="E3" s="1" t="s">
        <v>79</v>
      </c>
    </row>
    <row r="4" spans="1:5" x14ac:dyDescent="0.25">
      <c r="A4" s="1" t="s">
        <v>39</v>
      </c>
      <c r="B4" s="1" t="s">
        <v>53</v>
      </c>
      <c r="C4" s="1" t="s">
        <v>59</v>
      </c>
      <c r="D4" s="1" t="s">
        <v>99</v>
      </c>
      <c r="E4" s="1" t="s">
        <v>80</v>
      </c>
    </row>
    <row r="5" spans="1:5" x14ac:dyDescent="0.25">
      <c r="A5" s="1" t="s">
        <v>40</v>
      </c>
      <c r="B5" s="1" t="s">
        <v>54</v>
      </c>
      <c r="C5" s="1" t="s">
        <v>61</v>
      </c>
      <c r="D5" s="1" t="s">
        <v>93</v>
      </c>
      <c r="E5" s="1" t="s">
        <v>79</v>
      </c>
    </row>
    <row r="6" spans="1:5" x14ac:dyDescent="0.25">
      <c r="A6" s="1" t="s">
        <v>41</v>
      </c>
      <c r="B6" s="1" t="s">
        <v>56</v>
      </c>
      <c r="C6" s="1" t="s">
        <v>62</v>
      </c>
      <c r="D6" s="1" t="s">
        <v>87</v>
      </c>
      <c r="E6" s="1" t="s">
        <v>79</v>
      </c>
    </row>
    <row r="7" spans="1:5" x14ac:dyDescent="0.25">
      <c r="A7" s="1" t="s">
        <v>42</v>
      </c>
      <c r="B7" s="1" t="s">
        <v>57</v>
      </c>
      <c r="C7" s="1" t="s">
        <v>59</v>
      </c>
      <c r="D7" s="1" t="s">
        <v>88</v>
      </c>
      <c r="E7" s="1" t="s">
        <v>81</v>
      </c>
    </row>
    <row r="8" spans="1:5" x14ac:dyDescent="0.25">
      <c r="A8" s="1" t="s">
        <v>43</v>
      </c>
      <c r="B8" s="1" t="s">
        <v>58</v>
      </c>
      <c r="C8" s="1" t="s">
        <v>63</v>
      </c>
      <c r="D8" s="1" t="s">
        <v>89</v>
      </c>
      <c r="E8" s="1" t="s">
        <v>79</v>
      </c>
    </row>
    <row r="9" spans="1:5" x14ac:dyDescent="0.25">
      <c r="A9" s="1" t="s">
        <v>45</v>
      </c>
      <c r="B9" s="1" t="s">
        <v>71</v>
      </c>
      <c r="C9" s="1" t="s">
        <v>64</v>
      </c>
      <c r="D9" s="1" t="s">
        <v>90</v>
      </c>
      <c r="E9" s="1" t="s">
        <v>79</v>
      </c>
    </row>
    <row r="10" spans="1:5" x14ac:dyDescent="0.25">
      <c r="A10" s="1" t="s">
        <v>44</v>
      </c>
      <c r="B10" s="1" t="s">
        <v>72</v>
      </c>
      <c r="C10" s="1" t="s">
        <v>65</v>
      </c>
      <c r="D10" s="1" t="s">
        <v>91</v>
      </c>
      <c r="E10" s="1" t="s">
        <v>82</v>
      </c>
    </row>
    <row r="11" spans="1:5" x14ac:dyDescent="0.25">
      <c r="A11" s="1" t="s">
        <v>46</v>
      </c>
      <c r="B11" s="1" t="s">
        <v>73</v>
      </c>
      <c r="C11" s="1" t="s">
        <v>66</v>
      </c>
      <c r="D11" s="1" t="s">
        <v>92</v>
      </c>
      <c r="E11" s="1" t="s">
        <v>83</v>
      </c>
    </row>
    <row r="12" spans="1:5" x14ac:dyDescent="0.25">
      <c r="A12" s="1" t="s">
        <v>47</v>
      </c>
      <c r="B12" s="1" t="s">
        <v>74</v>
      </c>
      <c r="C12" s="1" t="s">
        <v>67</v>
      </c>
      <c r="D12" s="1" t="s">
        <v>93</v>
      </c>
      <c r="E12" s="1" t="s">
        <v>79</v>
      </c>
    </row>
    <row r="13" spans="1:5" x14ac:dyDescent="0.25">
      <c r="A13" s="1" t="s">
        <v>48</v>
      </c>
      <c r="B13" s="1" t="s">
        <v>75</v>
      </c>
      <c r="C13" s="1" t="s">
        <v>68</v>
      </c>
      <c r="D13" s="1" t="s">
        <v>94</v>
      </c>
      <c r="E13" s="1" t="s">
        <v>79</v>
      </c>
    </row>
    <row r="14" spans="1:5" x14ac:dyDescent="0.25">
      <c r="A14" s="1" t="s">
        <v>49</v>
      </c>
      <c r="B14" s="1" t="s">
        <v>76</v>
      </c>
      <c r="C14" s="1" t="s">
        <v>59</v>
      </c>
      <c r="D14" s="1" t="s">
        <v>95</v>
      </c>
      <c r="E14" s="1" t="s">
        <v>84</v>
      </c>
    </row>
    <row r="15" spans="1:5" x14ac:dyDescent="0.25">
      <c r="A15" s="1" t="s">
        <v>50</v>
      </c>
      <c r="B15" s="1" t="s">
        <v>77</v>
      </c>
      <c r="C15" s="1" t="s">
        <v>69</v>
      </c>
      <c r="D15" s="1" t="s">
        <v>96</v>
      </c>
      <c r="E15" s="1" t="s">
        <v>85</v>
      </c>
    </row>
    <row r="16" spans="1:5" x14ac:dyDescent="0.25">
      <c r="A16" s="1" t="s">
        <v>51</v>
      </c>
      <c r="B16" s="1" t="s">
        <v>78</v>
      </c>
      <c r="C16" s="1" t="s">
        <v>70</v>
      </c>
      <c r="D16" s="1" t="s">
        <v>97</v>
      </c>
      <c r="E16" s="1" t="s">
        <v>86</v>
      </c>
    </row>
    <row r="18" spans="1:2" x14ac:dyDescent="0.25">
      <c r="A18" s="14" t="s">
        <v>21</v>
      </c>
      <c r="B18" s="1" t="s">
        <v>49</v>
      </c>
    </row>
    <row r="19" spans="1:2" x14ac:dyDescent="0.25">
      <c r="A19" s="14" t="s">
        <v>33</v>
      </c>
      <c r="B19" s="1" t="str">
        <f>VLOOKUP(B18,A2:E16,2,0)</f>
        <v>AL. DOS LARAJAIS, 99</v>
      </c>
    </row>
    <row r="20" spans="1:2" x14ac:dyDescent="0.25">
      <c r="A20" s="14" t="s">
        <v>34</v>
      </c>
      <c r="B20" s="1" t="str">
        <f>VLOOKUP(B18,A2:E16,3,0)</f>
        <v>CENTRO</v>
      </c>
    </row>
    <row r="21" spans="1:2" x14ac:dyDescent="0.25">
      <c r="A21" s="14" t="s">
        <v>35</v>
      </c>
      <c r="B21" s="1" t="str">
        <f>VLOOKUP(B18,A2:E16,4,0)</f>
        <v>RIO DE JANEIRO</v>
      </c>
    </row>
    <row r="22" spans="1:2" x14ac:dyDescent="0.25">
      <c r="A22" s="14" t="s">
        <v>36</v>
      </c>
      <c r="B22" s="1" t="str">
        <f>VLOOKUP(B18,A2:E16,5,0)</f>
        <v>RJ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ATIVIDADE 5</vt:lpstr>
      <vt:lpstr>ATIVIDADE 6</vt:lpstr>
      <vt:lpstr>ATIVIDADE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</dc:creator>
  <cp:lastModifiedBy>Fatec</cp:lastModifiedBy>
  <dcterms:created xsi:type="dcterms:W3CDTF">2026-03-12T20:06:15Z</dcterms:created>
  <dcterms:modified xsi:type="dcterms:W3CDTF">2026-03-17T14:51:52Z</dcterms:modified>
</cp:coreProperties>
</file>