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9155" windowHeight="11835"/>
  </bookViews>
  <sheets>
    <sheet name="Plan1" sheetId="1" r:id="rId1"/>
    <sheet name="Plan2" sheetId="2" r:id="rId2"/>
    <sheet name="Plan3" sheetId="3" r:id="rId3"/>
  </sheets>
  <calcPr calcId="125725"/>
</workbook>
</file>

<file path=xl/calcChain.xml><?xml version="1.0" encoding="utf-8"?>
<calcChain xmlns="http://schemas.openxmlformats.org/spreadsheetml/2006/main">
  <c r="I18" i="1"/>
  <c r="I17"/>
  <c r="I16"/>
  <c r="I15"/>
  <c r="I14"/>
  <c r="I13"/>
  <c r="I8"/>
  <c r="I7"/>
  <c r="I6"/>
  <c r="I5"/>
  <c r="I4"/>
  <c r="H18"/>
  <c r="H17"/>
  <c r="H16"/>
  <c r="H15"/>
  <c r="H14"/>
  <c r="H13"/>
  <c r="H8"/>
  <c r="H7"/>
  <c r="H6"/>
  <c r="H5"/>
  <c r="H4"/>
  <c r="I3"/>
  <c r="H3"/>
  <c r="G18"/>
  <c r="G17"/>
  <c r="G16"/>
  <c r="G15"/>
  <c r="G14"/>
  <c r="G13"/>
  <c r="F18"/>
  <c r="F17"/>
  <c r="F16"/>
  <c r="F15"/>
  <c r="F13"/>
  <c r="F14"/>
  <c r="G4"/>
  <c r="G3"/>
  <c r="G8"/>
  <c r="G7"/>
  <c r="G6"/>
  <c r="G5"/>
  <c r="F8"/>
  <c r="F7"/>
  <c r="F6"/>
  <c r="F5"/>
  <c r="F4"/>
  <c r="F3"/>
</calcChain>
</file>

<file path=xl/sharedStrings.xml><?xml version="1.0" encoding="utf-8"?>
<sst xmlns="http://schemas.openxmlformats.org/spreadsheetml/2006/main" count="34" uniqueCount="22">
  <si>
    <t>CÓDIGO</t>
  </si>
  <si>
    <t>PRODUTO</t>
  </si>
  <si>
    <t>JANEIRO</t>
  </si>
  <si>
    <t>FEVEREIRO</t>
  </si>
  <si>
    <t>MARÇO</t>
  </si>
  <si>
    <t>TOTAL 1° TRIM.</t>
  </si>
  <si>
    <t>MÁXIMO</t>
  </si>
  <si>
    <t>MÍNIMO</t>
  </si>
  <si>
    <t>MÉDIA</t>
  </si>
  <si>
    <t>PORCA</t>
  </si>
  <si>
    <t>PARAFUSO</t>
  </si>
  <si>
    <t>ARRUELA</t>
  </si>
  <si>
    <t>PREGO</t>
  </si>
  <si>
    <t>ALICATE</t>
  </si>
  <si>
    <t>MARTELO</t>
  </si>
  <si>
    <t>EMPRESA EXEMPLO S/A</t>
  </si>
  <si>
    <t>TOTAIS:</t>
  </si>
  <si>
    <t>TOTAL 2°TRIM.</t>
  </si>
  <si>
    <t>ABRIL</t>
  </si>
  <si>
    <t>JUNHO</t>
  </si>
  <si>
    <t>MAIO</t>
  </si>
  <si>
    <t>TOTAL DO SEMESTRE</t>
  </si>
</sst>
</file>

<file path=xl/styles.xml><?xml version="1.0" encoding="utf-8"?>
<styleSheet xmlns="http://schemas.openxmlformats.org/spreadsheetml/2006/main">
  <numFmts count="2">
    <numFmt numFmtId="44" formatCode="_-&quot;R$&quot;\ * #,##0.00_-;\-&quot;R$&quot;\ * #,##0.00_-;_-&quot;R$&quot;\ * &quot;-&quot;??_-;_-@_-"/>
    <numFmt numFmtId="165" formatCode="&quot;R$&quot;\ #,##0.00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3" fontId="0" fillId="0" borderId="1" xfId="0" applyNumberFormat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165" fontId="0" fillId="0" borderId="1" xfId="0" applyNumberFormat="1" applyBorder="1"/>
    <xf numFmtId="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4" borderId="1" xfId="0" applyFont="1" applyFill="1" applyBorder="1"/>
    <xf numFmtId="0" fontId="0" fillId="0" borderId="1" xfId="1" applyNumberFormat="1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5" borderId="1" xfId="0" applyFill="1" applyBorder="1"/>
    <xf numFmtId="3" fontId="0" fillId="3" borderId="1" xfId="0" applyNumberFormat="1" applyFill="1" applyBorder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colors>
    <mruColors>
      <color rgb="FFCCECFF"/>
      <color rgb="FFFFCC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2"/>
  <sheetViews>
    <sheetView tabSelected="1" workbookViewId="0">
      <selection activeCell="K10" sqref="K10"/>
    </sheetView>
  </sheetViews>
  <sheetFormatPr defaultRowHeight="15"/>
  <cols>
    <col min="1" max="1" width="9.28515625" customWidth="1"/>
    <col min="2" max="2" width="11.42578125" customWidth="1"/>
    <col min="3" max="3" width="10.7109375" customWidth="1"/>
    <col min="4" max="4" width="11" customWidth="1"/>
    <col min="5" max="5" width="10.5703125" customWidth="1"/>
    <col min="6" max="6" width="13.7109375" customWidth="1"/>
    <col min="7" max="7" width="10.5703125" customWidth="1"/>
    <col min="8" max="8" width="9.7109375" customWidth="1"/>
    <col min="9" max="9" width="10.5703125" customWidth="1"/>
  </cols>
  <sheetData>
    <row r="1" spans="1:9" ht="21">
      <c r="D1" s="1"/>
      <c r="E1" s="7"/>
      <c r="F1" s="8" t="s">
        <v>15</v>
      </c>
      <c r="G1" s="9"/>
    </row>
    <row r="2" spans="1:9">
      <c r="A2" s="5" t="s">
        <v>0</v>
      </c>
      <c r="B2" s="5" t="s">
        <v>1</v>
      </c>
      <c r="C2" s="5" t="s">
        <v>2</v>
      </c>
      <c r="D2" s="6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 spans="1:9">
      <c r="A3" s="2">
        <v>1</v>
      </c>
      <c r="B3" s="12" t="s">
        <v>9</v>
      </c>
      <c r="C3" s="14">
        <v>4500</v>
      </c>
      <c r="D3" s="11">
        <v>5040</v>
      </c>
      <c r="E3" s="11">
        <v>5696</v>
      </c>
      <c r="F3" s="12">
        <f>SUM(B3:E3)</f>
        <v>15236</v>
      </c>
      <c r="G3" s="10">
        <f>MAX(C3:E3)</f>
        <v>5696</v>
      </c>
      <c r="H3" s="3">
        <f>MIN(C3:E3)</f>
        <v>4500</v>
      </c>
      <c r="I3" s="4">
        <f>MEDIAN(B3,E3)</f>
        <v>5696</v>
      </c>
    </row>
    <row r="4" spans="1:9">
      <c r="A4" s="2">
        <v>2</v>
      </c>
      <c r="B4" s="12" t="s">
        <v>10</v>
      </c>
      <c r="C4" s="14">
        <v>6250</v>
      </c>
      <c r="D4" s="11">
        <v>7000</v>
      </c>
      <c r="E4" s="11">
        <v>7910</v>
      </c>
      <c r="F4" s="12">
        <f>SUM(B4:E4)</f>
        <v>21160</v>
      </c>
      <c r="G4" s="10">
        <f>MAX(C4:E4)</f>
        <v>7910</v>
      </c>
      <c r="H4" s="3">
        <f>MIN(C4:E4)</f>
        <v>6250</v>
      </c>
      <c r="I4" s="3">
        <f>MEDIAN(C4:E4)</f>
        <v>7000</v>
      </c>
    </row>
    <row r="5" spans="1:9">
      <c r="A5" s="2">
        <v>3</v>
      </c>
      <c r="B5" s="12" t="s">
        <v>11</v>
      </c>
      <c r="C5" s="11">
        <v>3300</v>
      </c>
      <c r="D5" s="11">
        <v>3696</v>
      </c>
      <c r="E5" s="11">
        <v>4176</v>
      </c>
      <c r="F5" s="12">
        <f>SUM(B5:E5)</f>
        <v>11172</v>
      </c>
      <c r="G5" s="11">
        <f>MAX(C5:E5)</f>
        <v>4176</v>
      </c>
      <c r="H5" s="4">
        <f>MAX(C5:E5)</f>
        <v>4176</v>
      </c>
      <c r="I5" s="4">
        <f>AVERAGE(C5:E5)</f>
        <v>3724</v>
      </c>
    </row>
    <row r="6" spans="1:9">
      <c r="A6" s="2">
        <v>4</v>
      </c>
      <c r="B6" s="12" t="s">
        <v>12</v>
      </c>
      <c r="C6" s="11">
        <v>8000</v>
      </c>
      <c r="D6" s="11">
        <v>8690</v>
      </c>
      <c r="E6" s="11">
        <v>10125</v>
      </c>
      <c r="F6" s="12">
        <f>SUM(B6:E6)</f>
        <v>26815</v>
      </c>
      <c r="G6" s="11">
        <f>MAX(C6:E6)</f>
        <v>10125</v>
      </c>
      <c r="H6" s="4">
        <f>MAX(C6:E6)</f>
        <v>10125</v>
      </c>
      <c r="I6" s="4">
        <f>MEDIAN(C6:E6)</f>
        <v>8690</v>
      </c>
    </row>
    <row r="7" spans="1:9">
      <c r="A7" s="2">
        <v>5</v>
      </c>
      <c r="B7" s="12" t="s">
        <v>13</v>
      </c>
      <c r="C7" s="11">
        <v>4557</v>
      </c>
      <c r="D7" s="11">
        <v>5104</v>
      </c>
      <c r="E7" s="11">
        <v>5676</v>
      </c>
      <c r="F7" s="12">
        <f>SUM(B7:E7)</f>
        <v>15337</v>
      </c>
      <c r="G7" s="11">
        <f>MAX(C7:E7)</f>
        <v>5676</v>
      </c>
      <c r="H7" s="4">
        <f>MAX(C7:E7)</f>
        <v>5676</v>
      </c>
      <c r="I7" s="4">
        <f>MEDIAN(C7:E7)</f>
        <v>5104</v>
      </c>
    </row>
    <row r="8" spans="1:9">
      <c r="A8" s="2">
        <v>6</v>
      </c>
      <c r="B8" s="12" t="s">
        <v>14</v>
      </c>
      <c r="C8" s="11">
        <v>3260</v>
      </c>
      <c r="D8" s="11">
        <v>3640</v>
      </c>
      <c r="E8" s="11">
        <v>4113</v>
      </c>
      <c r="F8" s="12">
        <f>SUM(B8:E8)</f>
        <v>11013</v>
      </c>
      <c r="G8" s="11">
        <f>MAX(C8:E8)</f>
        <v>4113</v>
      </c>
      <c r="H8" s="4">
        <f>MAX(C8:E8)</f>
        <v>4113</v>
      </c>
      <c r="I8" s="4">
        <f>MEDIAN(C8:E8)</f>
        <v>3640</v>
      </c>
    </row>
    <row r="10" spans="1:9">
      <c r="A10" s="5" t="s">
        <v>16</v>
      </c>
      <c r="B10" s="3"/>
      <c r="C10" s="3"/>
      <c r="D10" s="3"/>
      <c r="E10" s="3"/>
      <c r="F10" s="3"/>
      <c r="G10" s="3"/>
      <c r="H10" s="3"/>
      <c r="I10" s="3"/>
    </row>
    <row r="12" spans="1:9">
      <c r="A12" s="15" t="s">
        <v>0</v>
      </c>
      <c r="B12" s="15" t="s">
        <v>1</v>
      </c>
      <c r="C12" s="15" t="s">
        <v>18</v>
      </c>
      <c r="D12" s="15" t="s">
        <v>20</v>
      </c>
      <c r="E12" s="15" t="s">
        <v>19</v>
      </c>
      <c r="F12" s="15" t="s">
        <v>17</v>
      </c>
      <c r="G12" s="15" t="s">
        <v>6</v>
      </c>
      <c r="H12" s="15" t="s">
        <v>7</v>
      </c>
      <c r="I12" s="15" t="s">
        <v>8</v>
      </c>
    </row>
    <row r="13" spans="1:9">
      <c r="A13" s="2">
        <v>1</v>
      </c>
      <c r="B13" s="12" t="s">
        <v>9</v>
      </c>
      <c r="C13" s="4">
        <v>6265</v>
      </c>
      <c r="D13" s="4">
        <v>6954</v>
      </c>
      <c r="E13" s="4">
        <v>7858</v>
      </c>
      <c r="F13" s="10">
        <f>SUM(C13:E13)</f>
        <v>21077</v>
      </c>
      <c r="G13" s="4">
        <f>MAX(C13:E13)</f>
        <v>7858</v>
      </c>
      <c r="H13" s="4">
        <f>MIN(C13:E13)</f>
        <v>6265</v>
      </c>
      <c r="I13" s="3">
        <f>MEDIAN(C3:E13)</f>
        <v>5676</v>
      </c>
    </row>
    <row r="14" spans="1:9">
      <c r="A14" s="2">
        <v>2</v>
      </c>
      <c r="B14" s="12" t="s">
        <v>10</v>
      </c>
      <c r="C14" s="4">
        <v>8701</v>
      </c>
      <c r="D14" s="4">
        <v>9658</v>
      </c>
      <c r="E14" s="4">
        <v>10197</v>
      </c>
      <c r="F14" s="4">
        <f>SUM(C14:E14)</f>
        <v>28556</v>
      </c>
      <c r="G14" s="4">
        <f>MAX(C14:E14)</f>
        <v>10197</v>
      </c>
      <c r="H14" s="4">
        <f>MIN(C14:E14)</f>
        <v>8701</v>
      </c>
      <c r="I14" s="4">
        <f>MEDIAN(C14:E14)</f>
        <v>9658</v>
      </c>
    </row>
    <row r="15" spans="1:9">
      <c r="A15" s="2">
        <v>3</v>
      </c>
      <c r="B15" s="12" t="s">
        <v>11</v>
      </c>
      <c r="C15" s="4">
        <v>4569</v>
      </c>
      <c r="D15" s="4">
        <v>5099</v>
      </c>
      <c r="E15" s="4">
        <v>5769</v>
      </c>
      <c r="F15" s="4">
        <f>SUM(C15:E15)</f>
        <v>15437</v>
      </c>
      <c r="G15" s="4">
        <f>MAX(C15:E15)</f>
        <v>5769</v>
      </c>
      <c r="H15" s="4">
        <f>MIN(C15:E150)</f>
        <v>4525</v>
      </c>
      <c r="I15" s="4">
        <f>MEDIAN(C15:E15)</f>
        <v>5099</v>
      </c>
    </row>
    <row r="16" spans="1:9">
      <c r="A16" s="2">
        <v>4</v>
      </c>
      <c r="B16" s="12" t="s">
        <v>12</v>
      </c>
      <c r="C16" s="4">
        <v>12341</v>
      </c>
      <c r="D16" s="4">
        <v>12365</v>
      </c>
      <c r="E16" s="4">
        <v>13969</v>
      </c>
      <c r="F16" s="4">
        <f>SUM(C16:E16)</f>
        <v>38675</v>
      </c>
      <c r="G16" s="4">
        <f>MAX(C16:E16)</f>
        <v>13969</v>
      </c>
      <c r="H16" s="4">
        <f>MIN(C16:E16)</f>
        <v>12341</v>
      </c>
      <c r="I16" s="4">
        <f>MEDIAN(C16:E16)</f>
        <v>12365</v>
      </c>
    </row>
    <row r="17" spans="1:9">
      <c r="A17" s="2">
        <v>5</v>
      </c>
      <c r="B17" s="12" t="s">
        <v>13</v>
      </c>
      <c r="C17" s="4">
        <v>6344</v>
      </c>
      <c r="D17" s="4">
        <v>7042</v>
      </c>
      <c r="E17" s="4">
        <v>7957</v>
      </c>
      <c r="F17" s="4">
        <f>SUM(C17:E17)</f>
        <v>21343</v>
      </c>
      <c r="G17" s="4">
        <f>MAX(C17:E17)</f>
        <v>7957</v>
      </c>
      <c r="H17" s="4">
        <f>MIN(C17:E17)</f>
        <v>6344</v>
      </c>
      <c r="I17" s="4">
        <f>MEDIAN(C17:E17)</f>
        <v>7042</v>
      </c>
    </row>
    <row r="18" spans="1:9">
      <c r="A18" s="2">
        <v>6</v>
      </c>
      <c r="B18" s="12" t="s">
        <v>14</v>
      </c>
      <c r="C18" s="17">
        <v>4525</v>
      </c>
      <c r="D18" s="4">
        <v>5022</v>
      </c>
      <c r="E18" s="4">
        <v>5671</v>
      </c>
      <c r="F18" s="4">
        <f>SUM(C18:E18)</f>
        <v>15218</v>
      </c>
      <c r="G18" s="4">
        <f>MAX(C18:E18)</f>
        <v>5671</v>
      </c>
      <c r="H18" s="4">
        <f>MIN(C18:E18)</f>
        <v>4525</v>
      </c>
      <c r="I18" s="4">
        <f>MEDIAN(C18:E18)</f>
        <v>5022</v>
      </c>
    </row>
    <row r="20" spans="1:9">
      <c r="A20" s="13" t="s">
        <v>16</v>
      </c>
      <c r="B20" s="3"/>
      <c r="C20" s="3"/>
      <c r="D20" s="3"/>
      <c r="E20" s="3"/>
      <c r="F20" s="3"/>
      <c r="G20" s="3"/>
      <c r="H20" s="3"/>
      <c r="I20" s="3"/>
    </row>
    <row r="22" spans="1:9">
      <c r="A22" s="16" t="s">
        <v>21</v>
      </c>
      <c r="B22" s="16"/>
      <c r="C22" s="3"/>
      <c r="D22" s="3"/>
      <c r="E22" s="3"/>
      <c r="F22" s="3"/>
      <c r="G22" s="3"/>
      <c r="H22" s="3"/>
      <c r="I22" s="3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REGINALDO</dc:creator>
  <cp:lastModifiedBy>REGINALDO</cp:lastModifiedBy>
  <dcterms:created xsi:type="dcterms:W3CDTF">2026-03-06T20:21:31Z</dcterms:created>
  <dcterms:modified xsi:type="dcterms:W3CDTF">2026-03-06T21:49:15Z</dcterms:modified>
</cp:coreProperties>
</file>